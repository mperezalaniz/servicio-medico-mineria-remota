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usar" sheetId="1" state="visible" r:id="rId3"/>
    <sheet name="Acta" sheetId="2" state="visible" r:id="rId4"/>
    <sheet name="Cronograma" sheetId="3" state="visible" r:id="rId5"/>
    <sheet name="RACI" sheetId="4" state="visible" r:id="rId6"/>
    <sheet name="Riesgos" sheetId="5" state="visible" r:id="rId7"/>
    <sheet name="KPI" sheetId="6" state="visible" r:id="rId8"/>
    <sheet name="DMAIC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Cifras de respuesta: modelo/resultados.json. Cifras de stock: tablero/tablero.json (sintético).</t>
        </r>
      </text>
    </comment>
  </commentList>
</comments>
</file>

<file path=xl/sharedStrings.xml><?xml version="1.0" encoding="utf-8"?>
<sst xmlns="http://schemas.openxmlformats.org/spreadsheetml/2006/main" count="368" uniqueCount="265">
  <si>
    <t xml:space="preserve">Plan de 100 días · Team Lead de Servicios Médicos</t>
  </si>
  <si>
    <t xml:space="preserve">Emiliano Pérez Alaniz · Escenario de demostración con supuestos y datos sintéticos, no datos de una empresa</t>
  </si>
  <si>
    <t xml:space="preserve">Hojas</t>
  </si>
  <si>
    <t xml:space="preserve">Acta, Cronograma (Gantt), RACI, Riesgos, KPI y DMAIC.</t>
  </si>
  <si>
    <t xml:space="preserve">Qué editar</t>
  </si>
  <si>
    <t xml:space="preserve">Solo las celdas con texto azul: inicio y duración de tareas, probabilidad e impacto de riesgos. El resto se calcula solo.</t>
  </si>
  <si>
    <t xml:space="preserve">Cronograma</t>
  </si>
  <si>
    <t xml:space="preserve">Fin = Inicio + Duración - 1. Las barras del Gantt se pintan solas por semana.</t>
  </si>
  <si>
    <t xml:space="preserve">Riesgos</t>
  </si>
  <si>
    <t xml:space="preserve">Puntaje = Probabilidad x Impacto (1 a 5). Alto desde 15, Medio desde 8.</t>
  </si>
  <si>
    <t xml:space="preserve">Origen de las metas</t>
  </si>
  <si>
    <t xml:space="preserve">Respuesta: modelo Monte Carlo del repo (modelo/hora_de_oro.py). Exámenes, brigadistas y stock: datos sintéticos del tablero (tablero/generar_datos.py).</t>
  </si>
  <si>
    <t xml:space="preserve">Acta del proyecto</t>
  </si>
  <si>
    <t xml:space="preserve">Servicio médico confiable en una operación minera remota</t>
  </si>
  <si>
    <t xml:space="preserve">Propósito</t>
  </si>
  <si>
    <t xml:space="preserve">Que cada trabajador con una emergencia reciba soporte vital avanzado lo antes posible y salga del sitio estabilizado y con la derivación resuelta, y que el servicio médico mida lo que hace para mejorarlo todos los meses.</t>
  </si>
  <si>
    <t xml:space="preserve">Objetivos al día 100</t>
  </si>
  <si>
    <t xml:space="preserve">Bajar el tiempo de salida del sitio en emergencias graves de 2 h 53 min a menos de 1 h 50 min en el percentil 90, medido en simulacros y eventos reales</t>
  </si>
  <si>
    <t xml:space="preserve">Llegar a 97% de evaluaciones de salud periódicas al día en todas las áreas</t>
  </si>
  <si>
    <t xml:space="preserve">Llegar a 90% de brigadistas con certificación de primeros auxilios vigente</t>
  </si>
  <si>
    <t xml:space="preserve">Cero quiebres de stock en insumos críticos de emergencia</t>
  </si>
  <si>
    <t xml:space="preserve">Tablero semanal de métricas del servicio funcionando y revisado con el superintendente</t>
  </si>
  <si>
    <t xml:space="preserve">Programa de bienestar con línea base de riesgo cardiovascular y un piloto en marcha</t>
  </si>
  <si>
    <t xml:space="preserve">Alcance</t>
  </si>
  <si>
    <t xml:space="preserve">Postas médicas del sitio, equipo de enfermería, paramédicos y choferes de ambulancia</t>
  </si>
  <si>
    <t xml:space="preserve">Respuesta médica de emergencia y coordinación de derivaciones con prestadores y hospitales</t>
  </si>
  <si>
    <t xml:space="preserve">Evaluaciones de salud, vigilancia médica y controles de alcohol y drogas</t>
  </si>
  <si>
    <t xml:space="preserve">Equipos e insumos médicos, stock crítico y checklist de ambulancias</t>
  </si>
  <si>
    <t xml:space="preserve">Capacitación de brigadistas en primeros auxilios y respuesta a emergencias</t>
  </si>
  <si>
    <t xml:space="preserve">Reportes de métricas del servicio y programa de bienestar</t>
  </si>
  <si>
    <t xml:space="preserve">Fuera de alcance</t>
  </si>
  <si>
    <t xml:space="preserve">Decisiones clínicas, que siguen siendo de los médicos</t>
  </si>
  <si>
    <t xml:space="preserve">Presupuesto anual del área (el plan aporta datos para armarlo)</t>
  </si>
  <si>
    <t xml:space="preserve">Contratos con prestadores (el plan coordina, no negocia)</t>
  </si>
  <si>
    <t xml:space="preserve">Restricciones</t>
  </si>
  <si>
    <t xml:space="preserve">Roster 8x6: la mitad del tiempo el equipo trabaja sin el Team Lead en sitio</t>
  </si>
  <si>
    <t xml:space="preserve">Distancia: el hospital más cercano está a dos o tres horas por ruta</t>
  </si>
  <si>
    <t xml:space="preserve">Logística: los insumos tardan entre 10 y 17 días en llegar</t>
  </si>
  <si>
    <t xml:space="preserve">Clima: el invierno patagónico agrega demoras en ruta</t>
  </si>
  <si>
    <t xml:space="preserve">Fases</t>
  </si>
  <si>
    <t xml:space="preserve">Días</t>
  </si>
  <si>
    <t xml:space="preserve">Fase</t>
  </si>
  <si>
    <t xml:space="preserve">Etapa DMAIC</t>
  </si>
  <si>
    <t xml:space="preserve">Qué se hace</t>
  </si>
  <si>
    <t xml:space="preserve">1 a 30</t>
  </si>
  <si>
    <t xml:space="preserve">Escuchar y medir</t>
  </si>
  <si>
    <t xml:space="preserve">Definir y Medir</t>
  </si>
  <si>
    <t xml:space="preserve">Conocer al equipo uno por uno, recorrer postas y frentes, revisar protocolos y armar la línea base de métricas.</t>
  </si>
  <si>
    <t xml:space="preserve">31 a 60</t>
  </si>
  <si>
    <t xml:space="preserve">Analizar y ordenar</t>
  </si>
  <si>
    <t xml:space="preserve">Analizar</t>
  </si>
  <si>
    <t xml:space="preserve">Encontrar las causas de las demoras y de los quiebres de stock, y acordar la derivación con prestadores y hospitales.</t>
  </si>
  <si>
    <t xml:space="preserve">61 a 90</t>
  </si>
  <si>
    <t xml:space="preserve">Mejorar</t>
  </si>
  <si>
    <t xml:space="preserve">Poner en marcha los cambios: simulacros con roles fijos, kanban de insumos, primera respuesta bajo mina y piloto de bienestar.</t>
  </si>
  <si>
    <t xml:space="preserve">91 a 100</t>
  </si>
  <si>
    <t xml:space="preserve">Sostener y rendir cuentas</t>
  </si>
  <si>
    <t xml:space="preserve">Controlar</t>
  </si>
  <si>
    <t xml:space="preserve">Cartas de control, procedimientos actualizados, informe de resultados y plan para los próximos seis meses.</t>
  </si>
  <si>
    <t xml:space="preserve">Cronograma y Gantt</t>
  </si>
  <si>
    <t xml:space="preserve">Editá Inicio y Duración (texto azul). Fin y barras se calculan.</t>
  </si>
  <si>
    <t xml:space="preserve">Semana: día inicio / fin →</t>
  </si>
  <si>
    <t xml:space="preserve">1-7</t>
  </si>
  <si>
    <t xml:space="preserve">8-14</t>
  </si>
  <si>
    <t xml:space="preserve">15-21</t>
  </si>
  <si>
    <t xml:space="preserve">22-28</t>
  </si>
  <si>
    <t xml:space="preserve">29-35</t>
  </si>
  <si>
    <t xml:space="preserve">36-42</t>
  </si>
  <si>
    <t xml:space="preserve">43-49</t>
  </si>
  <si>
    <t xml:space="preserve">50-56</t>
  </si>
  <si>
    <t xml:space="preserve">57-63</t>
  </si>
  <si>
    <t xml:space="preserve">64-70</t>
  </si>
  <si>
    <t xml:space="preserve">71-77</t>
  </si>
  <si>
    <t xml:space="preserve">78-84</t>
  </si>
  <si>
    <t xml:space="preserve">85-91</t>
  </si>
  <si>
    <t xml:space="preserve">92-98</t>
  </si>
  <si>
    <t xml:space="preserve">99-100</t>
  </si>
  <si>
    <t xml:space="preserve">Tarea</t>
  </si>
  <si>
    <t xml:space="preserve">Responsable</t>
  </si>
  <si>
    <t xml:space="preserve">Entregable</t>
  </si>
  <si>
    <t xml:space="preserve">Inicio (día)</t>
  </si>
  <si>
    <t xml:space="preserve">Duración (días)</t>
  </si>
  <si>
    <t xml:space="preserve">Fin (día)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</si>
  <si>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</si>
  <si>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</si>
  <si>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</si>
  <si>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</si>
  <si>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</si>
  <si>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</si>
  <si>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</si>
  <si>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</si>
  <si>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</si>
  <si>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</si>
  <si>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</si>
  <si>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</si>
  <si>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</si>
  <si>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</si>
  <si>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</si>
  <si>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Reunión uno a uno con cada integrante del equipo</t>
  </si>
  <si>
    <t xml:space="preserve">Team Lead</t>
  </si>
  <si>
    <t xml:space="preserve">Mapa de fortalezas y problemas del equipo</t>
  </si>
  <si>
    <t xml:space="preserve">Recorrido de postas, ambulancias y frentes de trabajo</t>
  </si>
  <si>
    <t xml:space="preserve">Lista de hallazgos con fotos</t>
  </si>
  <si>
    <t xml:space="preserve">Revisión de protocolos médicos y de emergencia vigentes</t>
  </si>
  <si>
    <t xml:space="preserve">Team Lead + Médicos</t>
  </si>
  <si>
    <t xml:space="preserve">Matriz de brechas por protocolo</t>
  </si>
  <si>
    <t xml:space="preserve">Inventario de equipos e insumos críticos</t>
  </si>
  <si>
    <t xml:space="preserve">Enfermería</t>
  </si>
  <si>
    <t xml:space="preserve">Listado con mínimos, máximos y vencimientos</t>
  </si>
  <si>
    <t xml:space="preserve">Línea base de métricas del servicio</t>
  </si>
  <si>
    <t xml:space="preserve">Tablero v0 con 8 indicadores</t>
  </si>
  <si>
    <t xml:space="preserve">Simulacro observado y cronometrado por tramo</t>
  </si>
  <si>
    <t xml:space="preserve">Team Lead + HSE</t>
  </si>
  <si>
    <t xml:space="preserve">Mapa de flujo de valor de la respuesta</t>
  </si>
  <si>
    <t xml:space="preserve">Mejoras rápidas: checklist de ambulancia y 5S en sala de emergencias</t>
  </si>
  <si>
    <t xml:space="preserve">Checklist diario firmado por turno</t>
  </si>
  <si>
    <t xml:space="preserve">Análisis de causas de demoras (Ishikawa y 5 porqués)</t>
  </si>
  <si>
    <t xml:space="preserve">Causas raíz priorizadas</t>
  </si>
  <si>
    <t xml:space="preserve">Protocolo de derivación preacordado con prestador y hospitales</t>
  </si>
  <si>
    <t xml:space="preserve">Team Lead + Superintendente</t>
  </si>
  <si>
    <t xml:space="preserve">Protocolo firmado y contactos únicos</t>
  </si>
  <si>
    <t xml:space="preserve">Recálculo de mínimos de stock y tarjetas kanban</t>
  </si>
  <si>
    <t xml:space="preserve">Team Lead + Logística</t>
  </si>
  <si>
    <t xml:space="preserve">Tablero kanban de insumos</t>
  </si>
  <si>
    <t xml:space="preserve">Agenda de exámenes periódicos por rotación</t>
  </si>
  <si>
    <t xml:space="preserve">Enfermería + Prestador</t>
  </si>
  <si>
    <t xml:space="preserve">Agenda anual por área y roster</t>
  </si>
  <si>
    <t xml:space="preserve">Plan de capacitación de brigadistas</t>
  </si>
  <si>
    <t xml:space="preserve">Cronograma por frente y turno</t>
  </si>
  <si>
    <t xml:space="preserve">Tablero semanal de métricas v1</t>
  </si>
  <si>
    <t xml:space="preserve">Tablero publicado y revisado</t>
  </si>
  <si>
    <t xml:space="preserve">Simulacros mensuales con roles fijos</t>
  </si>
  <si>
    <t xml:space="preserve">Team Lead + HSE + Operaciones</t>
  </si>
  <si>
    <t xml:space="preserve">Tiempos por tramo en cada simulacro</t>
  </si>
  <si>
    <t xml:space="preserve">Piloto de primera respuesta bajo mina</t>
  </si>
  <si>
    <t xml:space="preserve">Team Lead + Operaciones</t>
  </si>
  <si>
    <t xml:space="preserve">Brigadistas por frente y kits de primeros auxilios</t>
  </si>
  <si>
    <t xml:space="preserve">Piloto de bienestar: riesgo cardiovascular</t>
  </si>
  <si>
    <t xml:space="preserve">Médicos + Enfermería</t>
  </si>
  <si>
    <t xml:space="preserve">Línea base y participación</t>
  </si>
  <si>
    <t xml:space="preserve">Reconocimiento al equipo por resultados</t>
  </si>
  <si>
    <t xml:space="preserve">Reconocimiento en reunión de seguridad</t>
  </si>
  <si>
    <t xml:space="preserve">Cartas de control y procedimientos actualizados</t>
  </si>
  <si>
    <t xml:space="preserve">Procedimientos versionados</t>
  </si>
  <si>
    <t xml:space="preserve">Informe de resultados y plan a seis meses</t>
  </si>
  <si>
    <t xml:space="preserve">Presentación al superintendente</t>
  </si>
  <si>
    <t xml:space="preserve">Duración total del plan (días)</t>
  </si>
  <si>
    <t xml:space="preserve">Tareas</t>
  </si>
  <si>
    <t xml:space="preserve">Matriz RACI</t>
  </si>
  <si>
    <t xml:space="preserve">R: hace · A: responde por el resultado · C: se consulta · I: se informa</t>
  </si>
  <si>
    <t xml:space="preserve">Actividad</t>
  </si>
  <si>
    <t xml:space="preserve">Médicos</t>
  </si>
  <si>
    <t xml:space="preserve">Enfermería y paramédicos</t>
  </si>
  <si>
    <t xml:space="preserve">Superintendente de Salud</t>
  </si>
  <si>
    <t xml:space="preserve">HSE</t>
  </si>
  <si>
    <t xml:space="preserve">Operaciones mina</t>
  </si>
  <si>
    <t xml:space="preserve">Logística</t>
  </si>
  <si>
    <t xml:space="preserve">Prestador y hospitales</t>
  </si>
  <si>
    <t xml:space="preserve">Control: una sola A</t>
  </si>
  <si>
    <t xml:space="preserve">Respuesta médica de emergencia</t>
  </si>
  <si>
    <t xml:space="preserve">A</t>
  </si>
  <si>
    <t xml:space="preserve">R</t>
  </si>
  <si>
    <t xml:space="preserve">I</t>
  </si>
  <si>
    <t xml:space="preserve">C</t>
  </si>
  <si>
    <t xml:space="preserve">Derivación a centro externo</t>
  </si>
  <si>
    <t xml:space="preserve">Evaluaciones de salud periódicas</t>
  </si>
  <si>
    <t xml:space="preserve">Stock crítico e insumos</t>
  </si>
  <si>
    <t xml:space="preserve">Capacitación de brigadistas</t>
  </si>
  <si>
    <t xml:space="preserve">Simulacros de emergencia</t>
  </si>
  <si>
    <t xml:space="preserve">Tablero de métricas</t>
  </si>
  <si>
    <t xml:space="preserve">Programa de bienestar</t>
  </si>
  <si>
    <t xml:space="preserve">Registro de riesgos</t>
  </si>
  <si>
    <t xml:space="preserve">Probabilidad e impacto de 1 a 5 (texto azul, editable)</t>
  </si>
  <si>
    <t xml:space="preserve">Riesgo</t>
  </si>
  <si>
    <t xml:space="preserve">Probabilidad</t>
  </si>
  <si>
    <t xml:space="preserve">Impacto</t>
  </si>
  <si>
    <t xml:space="preserve">Puntaje</t>
  </si>
  <si>
    <t xml:space="preserve">Nivel</t>
  </si>
  <si>
    <t xml:space="preserve">Respuesta</t>
  </si>
  <si>
    <t xml:space="preserve">El roster 8x6 corta la continuidad del plan</t>
  </si>
  <si>
    <t xml:space="preserve">Traspaso escrito al final de cada roster y tablero compartido con el turno espejo</t>
  </si>
  <si>
    <t xml:space="preserve">Resistencia del equipo a cambiar rutinas</t>
  </si>
  <si>
    <t xml:space="preserve">Mejoras propuestas por el propio equipo y resultados visibles cada semana</t>
  </si>
  <si>
    <t xml:space="preserve">Demoras de logística en insumos críticos</t>
  </si>
  <si>
    <t xml:space="preserve">Mínimos calculados con la demora real y pedido automático por kanban</t>
  </si>
  <si>
    <t xml:space="preserve">El prestador u hospitales no aceptan el protocolo de derivación</t>
  </si>
  <si>
    <t xml:space="preserve">Acuerdo escalado con el superintendente y versión mínima con contactos únicos</t>
  </si>
  <si>
    <t xml:space="preserve">Clima invernal suspende simulacros o traslados</t>
  </si>
  <si>
    <t xml:space="preserve">Simulacros en ventanas planificadas y plan de contingencia aérea</t>
  </si>
  <si>
    <t xml:space="preserve">Registros en papel o incompletos</t>
  </si>
  <si>
    <t xml:space="preserve">Planilla digital simple con validaciones y un responsable por turno</t>
  </si>
  <si>
    <t xml:space="preserve">La operación no libera tiempo para simulacros</t>
  </si>
  <si>
    <t xml:space="preserve">Coordinar con Operaciones en las reuniones de planificación semanal</t>
  </si>
  <si>
    <t xml:space="preserve">Datos de salud expuestos en reportes</t>
  </si>
  <si>
    <t xml:space="preserve">Indicadores agregados y acceso restringido a registros individuales</t>
  </si>
  <si>
    <t xml:space="preserve">Riesgos de nivel alto</t>
  </si>
  <si>
    <t xml:space="preserve">Árbol de indicadores</t>
  </si>
  <si>
    <t xml:space="preserve">Línea base: Modelo = modelo Monte Carlo del repo · Sintético = datos de demostración · A medir = se toma en los primeros 30 días</t>
  </si>
  <si>
    <t xml:space="preserve">Dimensión</t>
  </si>
  <si>
    <t xml:space="preserve">Indicador</t>
  </si>
  <si>
    <t xml:space="preserve">Cómo se calcula</t>
  </si>
  <si>
    <t xml:space="preserve">Línea base</t>
  </si>
  <si>
    <t xml:space="preserve">Meta día 100</t>
  </si>
  <si>
    <t xml:space="preserve">Frecuencia</t>
  </si>
  <si>
    <t xml:space="preserve">Origen de la línea base</t>
  </si>
  <si>
    <t xml:space="preserve">Tiempo hasta primer contacto</t>
  </si>
  <si>
    <t xml:space="preserve">Desde el aviso hasta que alguien capacitado atiende al paciente</t>
  </si>
  <si>
    <t xml:space="preserve">23 min (mediana)</t>
  </si>
  <si>
    <t xml:space="preserve">10 min</t>
  </si>
  <si>
    <t xml:space="preserve">Cada evento y simulacro</t>
  </si>
  <si>
    <t xml:space="preserve">Modelo</t>
  </si>
  <si>
    <t xml:space="preserve">Tiempo hasta soporte vital avanzado</t>
  </si>
  <si>
    <t xml:space="preserve">Desde el aviso hasta que el equipo médico está con el paciente</t>
  </si>
  <si>
    <t xml:space="preserve">20 min</t>
  </si>
  <si>
    <t xml:space="preserve">Tiempo de salida del sitio (P90)</t>
  </si>
  <si>
    <t xml:space="preserve">Desde el aviso hasta que la ambulancia sale con el paciente estabilizado</t>
  </si>
  <si>
    <t xml:space="preserve">2 h 53 min</t>
  </si>
  <si>
    <t xml:space="preserve">1 h 50 min</t>
  </si>
  <si>
    <t xml:space="preserve">Mensual</t>
  </si>
  <si>
    <t xml:space="preserve">Prevención</t>
  </si>
  <si>
    <t xml:space="preserve">Evaluaciones de salud al día</t>
  </si>
  <si>
    <t xml:space="preserve">Trabajadores con examen periódico vigente / dotación</t>
  </si>
  <si>
    <t xml:space="preserve">86,1%</t>
  </si>
  <si>
    <t xml:space="preserve">97%</t>
  </si>
  <si>
    <t xml:space="preserve">Sintético</t>
  </si>
  <si>
    <t xml:space="preserve">Brigadistas con certificación vigente</t>
  </si>
  <si>
    <t xml:space="preserve">Brigadistas vigentes / brigadistas designados</t>
  </si>
  <si>
    <t xml:space="preserve">71,7%</t>
  </si>
  <si>
    <t xml:space="preserve">90%</t>
  </si>
  <si>
    <t xml:space="preserve">Recursos</t>
  </si>
  <si>
    <t xml:space="preserve">Quiebres de stock crítico</t>
  </si>
  <si>
    <t xml:space="preserve">Días-ítem con stock en cero</t>
  </si>
  <si>
    <t xml:space="preserve">362 en 163 días</t>
  </si>
  <si>
    <t xml:space="preserve">0</t>
  </si>
  <si>
    <t xml:space="preserve">Semanal</t>
  </si>
  <si>
    <t xml:space="preserve">Checklist de ambulancia completo</t>
  </si>
  <si>
    <t xml:space="preserve">Checklists firmados / turnos</t>
  </si>
  <si>
    <t xml:space="preserve">Sin dato</t>
  </si>
  <si>
    <t xml:space="preserve">100%</t>
  </si>
  <si>
    <t xml:space="preserve">Diaria</t>
  </si>
  <si>
    <t xml:space="preserve">A medir</t>
  </si>
  <si>
    <t xml:space="preserve">Demanda</t>
  </si>
  <si>
    <t xml:space="preserve">Consultas por 1.000 personas-día</t>
  </si>
  <si>
    <t xml:space="preserve">Consultas / población en sitio x 1.000, con carta U</t>
  </si>
  <si>
    <t xml:space="preserve">37,87</t>
  </si>
  <si>
    <t xml:space="preserve">Dentro de límites</t>
  </si>
  <si>
    <t xml:space="preserve">Equipo</t>
  </si>
  <si>
    <t xml:space="preserve">Capacitación del equipo médico al día</t>
  </si>
  <si>
    <t xml:space="preserve">Integrantes con ACLS, PHTLS y BLS vigentes / total</t>
  </si>
  <si>
    <t xml:space="preserve">Trimestral</t>
  </si>
  <si>
    <t xml:space="preserve">Dos mejoras con DMAIC</t>
  </si>
  <si>
    <t xml:space="preserve">Salir antes del sitio en una emergencia grave</t>
  </si>
  <si>
    <t xml:space="preserve">Definir</t>
  </si>
  <si>
    <t xml:space="preserve">Según el modelo, en el escenario de referencia la ambulancia sale del sitio a las 2 h 19 min del aviso (mediana) y a las 2 h 53 min en el percentil 90. Ese tramo es casi la mitad (49%) del tiempo hasta el hospital más cercano, y es la parte que se resuelve dentro del sitio.</t>
  </si>
  <si>
    <t xml:space="preserve">Medir</t>
  </si>
  <si>
    <t xml:space="preserve">Cronometrar cada tramo (aviso, llegada, extracción, estabilización, coordinación, preparación) en cada simulacro y en cada evento real, con una planilla única.</t>
  </si>
  <si>
    <t xml:space="preserve">La coordinación de la derivación es la espera más larga: 41 min de mediana, y arranca recién cuando termina la estabilización. Son llamadas, búsqueda de cama y autorizaciones en serie.</t>
  </si>
  <si>
    <t xml:space="preserve">Protocolo de derivación preacordado (criterios escritos y un contacto único por hospital) y coordinación en paralelo a la estabilización. Ambulancia y chofer se preparan mientras tanto.</t>
  </si>
  <si>
    <t xml:space="preserve">P90 del tiempo de salida en el tablero mensual. Resultado esperado según el modelo: 55 min menos en la mediana y 64 min menos en el P90 con esta mejora sola; 60 y 75 min sumando brigadistas bajo mina.</t>
  </si>
  <si>
    <t xml:space="preserve">Cero quiebres de stock crítico</t>
  </si>
  <si>
    <t xml:space="preserve">En los datos sintéticos hubo 362 días-ítem en cero en 163 días con pedido mensual a ojo.</t>
  </si>
  <si>
    <t xml:space="preserve">Registro diario de stock por ítem con mínimo, máximo y fecha de pedido.</t>
  </si>
  <si>
    <t xml:space="preserve">Los mínimos no contemplaban la demora real de 10 a 17 días hasta el sitio ni la demanda de invierno de salbutamol y oxígeno.</t>
  </si>
  <si>
    <t xml:space="preserve">Mínimo = consumo de la peor temporada x demora máxima x 1,25. Tarjeta kanban: cuando el stock toca el mínimo se pide hasta el máximo, sin esperar al fin de mes.</t>
  </si>
  <si>
    <t xml:space="preserve">Revisión semanal en el tablero. En el escenario sintético los quiebres bajan a 0 en 171 días.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</si>
</sst>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i val="true"/>
      <sz val="9"/>
      <color rgb="FF5A647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B25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5A6475"/>
      <name val="Arial"/>
      <family val="0"/>
      <charset val="1"/>
    </font>
    <font>
      <sz val="7"/>
      <color rgb="FF5A647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1F5FA8"/>
        <bgColor rgb="FF3366FF"/>
      </patternFill>
    </fill>
    <fill>
      <patternFill patternType="solid">
        <fgColor rgb="FFD9731A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1F5FA8"/>
        </patternFill>
      </fill>
    </dxf>
    <dxf>
      <fill>
        <patternFill>
          <bgColor rgb="FFF6D9BF"/>
        </patternFill>
      </fill>
    </dxf>
    <dxf>
      <fill>
        <patternFill>
          <bgColor rgb="FFF6D8D4"/>
        </patternFill>
      </fill>
    </dxf>
    <dxf>
      <fill>
        <patternFill>
          <bgColor rgb="FFFBEB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6D8D4"/>
      <rgbColor rgb="FF808080"/>
      <rgbColor rgb="FF9999FF"/>
      <rgbColor rgb="FF993366"/>
      <rgbColor rgb="FFFBEBD3"/>
      <rgbColor rgb="FFCCFFFF"/>
      <rgbColor rgb="FF660066"/>
      <rgbColor rgb="FFFF8080"/>
      <rgbColor rgb="FF1F5FA8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9BF"/>
      <rgbColor rgb="FF3366FF"/>
      <rgbColor rgb="FF33CCCC"/>
      <rgbColor rgb="FF99CC00"/>
      <rgbColor rgb="FFFFCC00"/>
      <rgbColor rgb="FFFF9900"/>
      <rgbColor rgb="FFD9731A"/>
      <rgbColor rgb="FF5A6475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35.05" hidden="false" customHeight="false" outlineLevel="0" collapsed="false">
      <c r="A4" s="5" t="s">
        <v>14</v>
      </c>
      <c r="B4" s="4" t="s">
        <v>15</v>
      </c>
    </row>
    <row r="6" customFormat="false" ht="23.85" hidden="false" customHeight="false" outlineLevel="0" collapsed="false">
      <c r="A6" s="5" t="s">
        <v>16</v>
      </c>
      <c r="B6" s="4" t="s">
        <v>17</v>
      </c>
    </row>
    <row r="7" customFormat="false" ht="15" hidden="false" customHeight="false" outlineLevel="0" collapsed="false">
      <c r="B7" s="4" t="s">
        <v>18</v>
      </c>
    </row>
    <row r="8" customFormat="false" ht="15" hidden="false" customHeight="false" outlineLevel="0" collapsed="false">
      <c r="B8" s="4" t="s">
        <v>19</v>
      </c>
    </row>
    <row r="9" customFormat="false" ht="15" hidden="false" customHeight="false" outlineLevel="0" collapsed="false">
      <c r="B9" s="4" t="s">
        <v>20</v>
      </c>
    </row>
    <row r="10" customFormat="false" ht="23.85" hidden="false" customHeight="false" outlineLevel="0" collapsed="false">
      <c r="B10" s="4" t="s">
        <v>21</v>
      </c>
    </row>
    <row r="11" customFormat="false" ht="15" hidden="false" customHeight="false" outlineLevel="0" collapsed="false">
      <c r="B11" s="4" t="s">
        <v>22</v>
      </c>
    </row>
    <row r="13" customFormat="false" ht="23.85" hidden="false" customHeight="false" outlineLevel="0" collapsed="false">
      <c r="A13" s="5" t="s">
        <v>23</v>
      </c>
      <c r="B13" s="4" t="s">
        <v>24</v>
      </c>
    </row>
    <row r="14" customFormat="false" ht="23.85" hidden="false" customHeight="false" outlineLevel="0" collapsed="false">
      <c r="B14" s="4" t="s">
        <v>25</v>
      </c>
    </row>
    <row r="15" customFormat="false" ht="15" hidden="false" customHeight="false" outlineLevel="0" collapsed="false">
      <c r="B15" s="4" t="s">
        <v>26</v>
      </c>
    </row>
    <row r="16" customFormat="false" ht="15" hidden="false" customHeight="false" outlineLevel="0" collapsed="false">
      <c r="B16" s="4" t="s">
        <v>27</v>
      </c>
    </row>
    <row r="17" customFormat="false" ht="15" hidden="false" customHeight="false" outlineLevel="0" collapsed="false">
      <c r="B17" s="4" t="s">
        <v>28</v>
      </c>
    </row>
    <row r="18" customFormat="false" ht="15" hidden="false" customHeight="false" outlineLevel="0" collapsed="false">
      <c r="B18" s="4" t="s">
        <v>29</v>
      </c>
    </row>
    <row r="20" customFormat="false" ht="15" hidden="false" customHeight="false" outlineLevel="0" collapsed="false">
      <c r="A20" s="5" t="s">
        <v>30</v>
      </c>
      <c r="B20" s="4" t="s">
        <v>31</v>
      </c>
    </row>
    <row r="21" customFormat="false" ht="15" hidden="false" customHeight="false" outlineLevel="0" collapsed="false">
      <c r="B21" s="4" t="s">
        <v>32</v>
      </c>
    </row>
    <row r="22" customFormat="false" ht="15" hidden="false" customHeight="false" outlineLevel="0" collapsed="false">
      <c r="B22" s="4" t="s">
        <v>33</v>
      </c>
    </row>
    <row r="24" customFormat="false" ht="15" hidden="false" customHeight="false" outlineLevel="0" collapsed="false">
      <c r="A24" s="5" t="s">
        <v>34</v>
      </c>
      <c r="B24" s="4" t="s">
        <v>35</v>
      </c>
    </row>
    <row r="25" customFormat="false" ht="15" hidden="false" customHeight="false" outlineLevel="0" collapsed="false">
      <c r="B25" s="4" t="s">
        <v>36</v>
      </c>
    </row>
    <row r="26" customFormat="false" ht="15" hidden="false" customHeight="false" outlineLevel="0" collapsed="false">
      <c r="B26" s="4" t="s">
        <v>37</v>
      </c>
    </row>
    <row r="27" customFormat="false" ht="15" hidden="false" customHeight="false" outlineLevel="0" collapsed="false">
      <c r="B27" s="4" t="s">
        <v>38</v>
      </c>
    </row>
    <row r="29" customFormat="false" ht="15" hidden="false" customHeight="false" outlineLevel="0" collapsed="false">
      <c r="A29" s="5" t="s">
        <v>39</v>
      </c>
    </row>
    <row r="30" customFormat="false" ht="30" hidden="false" customHeight="true" outlineLevel="0" collapsed="false">
      <c r="A30" s="6" t="s">
        <v>40</v>
      </c>
      <c r="B30" s="6" t="s">
        <v>41</v>
      </c>
      <c r="C30" s="6" t="s">
        <v>42</v>
      </c>
      <c r="D30" s="6" t="s">
        <v>43</v>
      </c>
    </row>
    <row r="31" customFormat="false" ht="23.85" hidden="false" customHeight="false" outlineLevel="0" collapsed="false">
      <c r="A31" s="7" t="s">
        <v>44</v>
      </c>
      <c r="B31" s="7" t="s">
        <v>45</v>
      </c>
      <c r="C31" s="7" t="s">
        <v>46</v>
      </c>
      <c r="D31" s="7" t="s">
        <v>47</v>
      </c>
    </row>
    <row r="32" customFormat="false" ht="23.85" hidden="false" customHeight="false" outlineLevel="0" collapsed="false">
      <c r="A32" s="7" t="s">
        <v>48</v>
      </c>
      <c r="B32" s="7" t="s">
        <v>49</v>
      </c>
      <c r="C32" s="7" t="s">
        <v>50</v>
      </c>
      <c r="D32" s="7" t="s">
        <v>51</v>
      </c>
    </row>
    <row r="33" customFormat="false" ht="23.85" hidden="false" customHeight="false" outlineLevel="0" collapsed="false">
      <c r="A33" s="7" t="s">
        <v>52</v>
      </c>
      <c r="B33" s="7" t="s">
        <v>53</v>
      </c>
      <c r="C33" s="7" t="s">
        <v>53</v>
      </c>
      <c r="D33" s="7" t="s">
        <v>54</v>
      </c>
    </row>
    <row r="34" customFormat="false" ht="23.85" hidden="false" customHeight="false" outlineLevel="0" collapsed="false">
      <c r="A34" s="7" t="s">
        <v>55</v>
      </c>
      <c r="B34" s="7" t="s">
        <v>56</v>
      </c>
      <c r="C34" s="7" t="s">
        <v>57</v>
      </c>
      <c r="D34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7" min="5" style="0" width="9"/>
    <col collapsed="false" customWidth="true" hidden="false" outlineLevel="0" max="22" min="8" style="0" width="4.2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3" customFormat="false" ht="15" hidden="false" customHeight="false" outlineLevel="0" collapsed="false">
      <c r="G3" s="8" t="s">
        <v>61</v>
      </c>
      <c r="H3" s="9" t="s">
        <v>62</v>
      </c>
      <c r="I3" s="9" t="s">
        <v>63</v>
      </c>
      <c r="J3" s="9" t="s">
        <v>64</v>
      </c>
      <c r="K3" s="9" t="s">
        <v>65</v>
      </c>
      <c r="L3" s="9" t="s">
        <v>66</v>
      </c>
      <c r="M3" s="9" t="s">
        <v>67</v>
      </c>
      <c r="N3" s="9" t="s">
        <v>68</v>
      </c>
      <c r="O3" s="9" t="s">
        <v>69</v>
      </c>
      <c r="P3" s="9" t="s">
        <v>70</v>
      </c>
      <c r="Q3" s="9" t="s">
        <v>71</v>
      </c>
      <c r="R3" s="9" t="s">
        <v>72</v>
      </c>
      <c r="S3" s="9" t="s">
        <v>73</v>
      </c>
      <c r="T3" s="9" t="s">
        <v>74</v>
      </c>
      <c r="U3" s="9" t="s">
        <v>75</v>
      </c>
      <c r="V3" s="9" t="s">
        <v>76</v>
      </c>
    </row>
    <row r="4" customFormat="false" ht="30" hidden="false" customHeight="true" outlineLevel="0" collapsed="false">
      <c r="A4" s="6" t="s">
        <v>77</v>
      </c>
      <c r="B4" s="6" t="s">
        <v>41</v>
      </c>
      <c r="C4" s="6" t="s">
        <v>78</v>
      </c>
      <c r="D4" s="6" t="s">
        <v>79</v>
      </c>
      <c r="E4" s="6" t="s">
        <v>80</v>
      </c>
      <c r="F4" s="6" t="s">
        <v>81</v>
      </c>
      <c r="G4" s="6" t="s">
        <v>82</v>
      </c>
      <c r="H4" s="6" t="s">
        <v>83</v>
      </c>
      <c r="I4" s="6" t="s">
        <v>84</v>
      </c>
      <c r="J4" s="6" t="s">
        <v>85</v>
      </c>
      <c r="K4" s="6" t="s">
        <v>86</v>
      </c>
      <c r="L4" s="6" t="s">
        <v>87</v>
      </c>
      <c r="M4" s="6" t="s">
        <v>88</v>
      </c>
      <c r="N4" s="6" t="s">
        <v>89</v>
      </c>
      <c r="O4" s="6" t="s">
        <v>90</v>
      </c>
      <c r="P4" s="6" t="s">
        <v>91</v>
      </c>
      <c r="Q4" s="6" t="s">
        <v>92</v>
      </c>
      <c r="R4" s="6" t="s">
        <v>93</v>
      </c>
      <c r="S4" s="6" t="s">
        <v>94</v>
      </c>
      <c r="T4" s="6" t="s">
        <v>95</v>
      </c>
      <c r="U4" s="6" t="s">
        <v>96</v>
      </c>
      <c r="V4" s="6" t="s">
        <v>97</v>
      </c>
    </row>
    <row r="5" customFormat="false" ht="15" hidden="false" customHeight="false" outlineLevel="0" collapsed="false">
      <c r="A5" s="7" t="s">
        <v>98</v>
      </c>
      <c r="B5" s="7" t="s">
        <v>45</v>
      </c>
      <c r="C5" s="7" t="s">
        <v>99</v>
      </c>
      <c r="D5" s="7" t="s">
        <v>100</v>
      </c>
      <c r="E5" s="10" t="n">
        <v>1</v>
      </c>
      <c r="F5" s="10" t="n">
        <v>14</v>
      </c>
      <c r="G5" s="11" t="n">
        <f aca="false">E5+F5-1</f>
        <v>14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customFormat="false" ht="15" hidden="false" customHeight="false" outlineLevel="0" collapsed="false">
      <c r="A6" s="7" t="s">
        <v>101</v>
      </c>
      <c r="B6" s="7" t="s">
        <v>45</v>
      </c>
      <c r="C6" s="7" t="s">
        <v>99</v>
      </c>
      <c r="D6" s="7" t="s">
        <v>102</v>
      </c>
      <c r="E6" s="10" t="n">
        <v>1</v>
      </c>
      <c r="F6" s="10" t="n">
        <v>10</v>
      </c>
      <c r="G6" s="11" t="n">
        <f aca="false">E6+F6-1</f>
        <v>10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customFormat="false" ht="23.85" hidden="false" customHeight="false" outlineLevel="0" collapsed="false">
      <c r="A7" s="7" t="s">
        <v>103</v>
      </c>
      <c r="B7" s="7" t="s">
        <v>45</v>
      </c>
      <c r="C7" s="7" t="s">
        <v>104</v>
      </c>
      <c r="D7" s="7" t="s">
        <v>105</v>
      </c>
      <c r="E7" s="10" t="n">
        <v>5</v>
      </c>
      <c r="F7" s="10" t="n">
        <v>15</v>
      </c>
      <c r="G7" s="11" t="n">
        <f aca="false">E7+F7-1</f>
        <v>19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customFormat="false" ht="23.85" hidden="false" customHeight="false" outlineLevel="0" collapsed="false">
      <c r="A8" s="7" t="s">
        <v>106</v>
      </c>
      <c r="B8" s="7" t="s">
        <v>45</v>
      </c>
      <c r="C8" s="7" t="s">
        <v>107</v>
      </c>
      <c r="D8" s="7" t="s">
        <v>108</v>
      </c>
      <c r="E8" s="10" t="n">
        <v>8</v>
      </c>
      <c r="F8" s="10" t="n">
        <v>10</v>
      </c>
      <c r="G8" s="11" t="n">
        <f aca="false">E8+F8-1</f>
        <v>17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customFormat="false" ht="15" hidden="false" customHeight="false" outlineLevel="0" collapsed="false">
      <c r="A9" s="7" t="s">
        <v>109</v>
      </c>
      <c r="B9" s="7" t="s">
        <v>45</v>
      </c>
      <c r="C9" s="7" t="s">
        <v>99</v>
      </c>
      <c r="D9" s="7" t="s">
        <v>110</v>
      </c>
      <c r="E9" s="10" t="n">
        <v>10</v>
      </c>
      <c r="F9" s="10" t="n">
        <v>20</v>
      </c>
      <c r="G9" s="11" t="n">
        <f aca="false">E9+F9-1</f>
        <v>29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customFormat="false" ht="15" hidden="false" customHeight="false" outlineLevel="0" collapsed="false">
      <c r="A10" s="7" t="s">
        <v>111</v>
      </c>
      <c r="B10" s="7" t="s">
        <v>45</v>
      </c>
      <c r="C10" s="7" t="s">
        <v>112</v>
      </c>
      <c r="D10" s="7" t="s">
        <v>113</v>
      </c>
      <c r="E10" s="10" t="n">
        <v>20</v>
      </c>
      <c r="F10" s="10" t="n">
        <v>5</v>
      </c>
      <c r="G10" s="11" t="n">
        <f aca="false">E10+F10-1</f>
        <v>24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customFormat="false" ht="23.85" hidden="false" customHeight="false" outlineLevel="0" collapsed="false">
      <c r="A11" s="7" t="s">
        <v>114</v>
      </c>
      <c r="B11" s="7" t="s">
        <v>45</v>
      </c>
      <c r="C11" s="7" t="s">
        <v>107</v>
      </c>
      <c r="D11" s="7" t="s">
        <v>115</v>
      </c>
      <c r="E11" s="10" t="n">
        <v>15</v>
      </c>
      <c r="F11" s="10" t="n">
        <v>15</v>
      </c>
      <c r="G11" s="11" t="n">
        <f aca="false">E11+F11-1</f>
        <v>29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customFormat="false" ht="15" hidden="false" customHeight="false" outlineLevel="0" collapsed="false">
      <c r="A12" s="7" t="s">
        <v>116</v>
      </c>
      <c r="B12" s="7" t="s">
        <v>49</v>
      </c>
      <c r="C12" s="7" t="s">
        <v>104</v>
      </c>
      <c r="D12" s="7" t="s">
        <v>117</v>
      </c>
      <c r="E12" s="10" t="n">
        <v>31</v>
      </c>
      <c r="F12" s="10" t="n">
        <v>10</v>
      </c>
      <c r="G12" s="11" t="n">
        <f aca="false">E12+F12-1</f>
        <v>40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customFormat="false" ht="23.85" hidden="false" customHeight="false" outlineLevel="0" collapsed="false">
      <c r="A13" s="7" t="s">
        <v>118</v>
      </c>
      <c r="B13" s="7" t="s">
        <v>49</v>
      </c>
      <c r="C13" s="7" t="s">
        <v>119</v>
      </c>
      <c r="D13" s="7" t="s">
        <v>120</v>
      </c>
      <c r="E13" s="10" t="n">
        <v>35</v>
      </c>
      <c r="F13" s="10" t="n">
        <v>25</v>
      </c>
      <c r="G13" s="11" t="n">
        <f aca="false">E13+F13-1</f>
        <v>59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customFormat="false" ht="15" hidden="false" customHeight="false" outlineLevel="0" collapsed="false">
      <c r="A14" s="7" t="s">
        <v>121</v>
      </c>
      <c r="B14" s="7" t="s">
        <v>49</v>
      </c>
      <c r="C14" s="7" t="s">
        <v>122</v>
      </c>
      <c r="D14" s="7" t="s">
        <v>123</v>
      </c>
      <c r="E14" s="10" t="n">
        <v>35</v>
      </c>
      <c r="F14" s="10" t="n">
        <v>15</v>
      </c>
      <c r="G14" s="11" t="n">
        <f aca="false">E14+F14-1</f>
        <v>49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customFormat="false" ht="15" hidden="false" customHeight="false" outlineLevel="0" collapsed="false">
      <c r="A15" s="7" t="s">
        <v>124</v>
      </c>
      <c r="B15" s="7" t="s">
        <v>49</v>
      </c>
      <c r="C15" s="7" t="s">
        <v>125</v>
      </c>
      <c r="D15" s="7" t="s">
        <v>126</v>
      </c>
      <c r="E15" s="10" t="n">
        <v>40</v>
      </c>
      <c r="F15" s="10" t="n">
        <v>20</v>
      </c>
      <c r="G15" s="11" t="n">
        <f aca="false">E15+F15-1</f>
        <v>59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customFormat="false" ht="15" hidden="false" customHeight="false" outlineLevel="0" collapsed="false">
      <c r="A16" s="7" t="s">
        <v>127</v>
      </c>
      <c r="B16" s="7" t="s">
        <v>49</v>
      </c>
      <c r="C16" s="7" t="s">
        <v>112</v>
      </c>
      <c r="D16" s="7" t="s">
        <v>128</v>
      </c>
      <c r="E16" s="10" t="n">
        <v>45</v>
      </c>
      <c r="F16" s="10" t="n">
        <v>15</v>
      </c>
      <c r="G16" s="11" t="n">
        <f aca="false">E16+F16-1</f>
        <v>59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customFormat="false" ht="15" hidden="false" customHeight="false" outlineLevel="0" collapsed="false">
      <c r="A17" s="7" t="s">
        <v>129</v>
      </c>
      <c r="B17" s="7" t="s">
        <v>49</v>
      </c>
      <c r="C17" s="7" t="s">
        <v>99</v>
      </c>
      <c r="D17" s="7" t="s">
        <v>130</v>
      </c>
      <c r="E17" s="10" t="n">
        <v>50</v>
      </c>
      <c r="F17" s="10" t="n">
        <v>10</v>
      </c>
      <c r="G17" s="11" t="n">
        <f aca="false">E17+F17-1</f>
        <v>59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customFormat="false" ht="23.85" hidden="false" customHeight="false" outlineLevel="0" collapsed="false">
      <c r="A18" s="7" t="s">
        <v>131</v>
      </c>
      <c r="B18" s="7" t="s">
        <v>53</v>
      </c>
      <c r="C18" s="7" t="s">
        <v>132</v>
      </c>
      <c r="D18" s="7" t="s">
        <v>133</v>
      </c>
      <c r="E18" s="10" t="n">
        <v>61</v>
      </c>
      <c r="F18" s="10" t="n">
        <v>30</v>
      </c>
      <c r="G18" s="11" t="n">
        <f aca="false">E18+F18-1</f>
        <v>90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customFormat="false" ht="23.85" hidden="false" customHeight="false" outlineLevel="0" collapsed="false">
      <c r="A19" s="7" t="s">
        <v>134</v>
      </c>
      <c r="B19" s="7" t="s">
        <v>53</v>
      </c>
      <c r="C19" s="7" t="s">
        <v>135</v>
      </c>
      <c r="D19" s="7" t="s">
        <v>136</v>
      </c>
      <c r="E19" s="10" t="n">
        <v>65</v>
      </c>
      <c r="F19" s="10" t="n">
        <v>25</v>
      </c>
      <c r="G19" s="11" t="n">
        <f aca="false">E19+F19-1</f>
        <v>89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customFormat="false" ht="15" hidden="false" customHeight="false" outlineLevel="0" collapsed="false">
      <c r="A20" s="7" t="s">
        <v>137</v>
      </c>
      <c r="B20" s="7" t="s">
        <v>53</v>
      </c>
      <c r="C20" s="7" t="s">
        <v>138</v>
      </c>
      <c r="D20" s="7" t="s">
        <v>139</v>
      </c>
      <c r="E20" s="10" t="n">
        <v>70</v>
      </c>
      <c r="F20" s="10" t="n">
        <v>21</v>
      </c>
      <c r="G20" s="11" t="n">
        <f aca="false">E20+F20-1</f>
        <v>90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customFormat="false" ht="15" hidden="false" customHeight="false" outlineLevel="0" collapsed="false">
      <c r="A21" s="7" t="s">
        <v>140</v>
      </c>
      <c r="B21" s="7" t="s">
        <v>53</v>
      </c>
      <c r="C21" s="7" t="s">
        <v>99</v>
      </c>
      <c r="D21" s="7" t="s">
        <v>141</v>
      </c>
      <c r="E21" s="10" t="n">
        <v>85</v>
      </c>
      <c r="F21" s="10" t="n">
        <v>5</v>
      </c>
      <c r="G21" s="11" t="n">
        <f aca="false">E21+F21-1</f>
        <v>89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customFormat="false" ht="15" hidden="false" customHeight="false" outlineLevel="0" collapsed="false">
      <c r="A22" s="7" t="s">
        <v>142</v>
      </c>
      <c r="B22" s="7" t="s">
        <v>56</v>
      </c>
      <c r="C22" s="7" t="s">
        <v>99</v>
      </c>
      <c r="D22" s="7" t="s">
        <v>143</v>
      </c>
      <c r="E22" s="10" t="n">
        <v>91</v>
      </c>
      <c r="F22" s="10" t="n">
        <v>7</v>
      </c>
      <c r="G22" s="11" t="n">
        <f aca="false">E22+F22-1</f>
        <v>97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customFormat="false" ht="15" hidden="false" customHeight="false" outlineLevel="0" collapsed="false">
      <c r="A23" s="7" t="s">
        <v>144</v>
      </c>
      <c r="B23" s="7" t="s">
        <v>56</v>
      </c>
      <c r="C23" s="7" t="s">
        <v>99</v>
      </c>
      <c r="D23" s="7" t="s">
        <v>145</v>
      </c>
      <c r="E23" s="10" t="n">
        <v>95</v>
      </c>
      <c r="F23" s="10" t="n">
        <v>6</v>
      </c>
      <c r="G23" s="11" t="n">
        <f aca="false">E23+F23-1</f>
        <v>100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5" customFormat="false" ht="15" hidden="false" customHeight="false" outlineLevel="0" collapsed="false">
      <c r="A25" s="3" t="s">
        <v>146</v>
      </c>
      <c r="G25" s="3" t="n">
        <f aca="false">MAX(G5:G23)</f>
        <v>100</v>
      </c>
    </row>
    <row r="26" customFormat="false" ht="15" hidden="false" customHeight="false" outlineLevel="0" collapsed="false">
      <c r="A26" s="3" t="s">
        <v>147</v>
      </c>
      <c r="G26" s="3" t="n">
        <f aca="false">COUNTA(A5:A23)</f>
        <v>19</v>
      </c>
    </row>
  </sheetData>
  <conditionalFormatting sqref="H5:V23">
    <cfRule type="expression" priority="2" aboveAverage="0" equalAverage="0" bottom="0" percent="0" rank="0" text="" dxfId="0">
      <formula>AND($E5&lt;=(COLUMN()-8)*7+7,$G5&gt;=(COLUMN()-8)*7+1)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30" hidden="false" customHeight="true" outlineLevel="0" collapsed="false">
      <c r="A4" s="6" t="s">
        <v>150</v>
      </c>
      <c r="B4" s="6" t="s">
        <v>99</v>
      </c>
      <c r="C4" s="6" t="s">
        <v>151</v>
      </c>
      <c r="D4" s="6" t="s">
        <v>152</v>
      </c>
      <c r="E4" s="6" t="s">
        <v>153</v>
      </c>
      <c r="F4" s="6" t="s">
        <v>154</v>
      </c>
      <c r="G4" s="6" t="s">
        <v>155</v>
      </c>
      <c r="H4" s="6" t="s">
        <v>156</v>
      </c>
      <c r="I4" s="6" t="s">
        <v>157</v>
      </c>
      <c r="J4" s="6" t="s">
        <v>158</v>
      </c>
    </row>
    <row r="5" customFormat="false" ht="15" hidden="false" customHeight="false" outlineLevel="0" collapsed="false">
      <c r="A5" s="13" t="s">
        <v>159</v>
      </c>
      <c r="B5" s="14" t="s">
        <v>160</v>
      </c>
      <c r="C5" s="15" t="s">
        <v>161</v>
      </c>
      <c r="D5" s="15" t="s">
        <v>161</v>
      </c>
      <c r="E5" s="15" t="s">
        <v>162</v>
      </c>
      <c r="F5" s="15" t="s">
        <v>163</v>
      </c>
      <c r="G5" s="15" t="s">
        <v>163</v>
      </c>
      <c r="H5" s="15"/>
      <c r="I5" s="15" t="s">
        <v>162</v>
      </c>
      <c r="J5" s="16" t="str">
        <f aca="false">IF(COUNTIF(B5:I5,"A")=1,"OK","Revisar")</f>
        <v>OK</v>
      </c>
    </row>
    <row r="6" customFormat="false" ht="15" hidden="false" customHeight="false" outlineLevel="0" collapsed="false">
      <c r="A6" s="13" t="s">
        <v>164</v>
      </c>
      <c r="B6" s="15" t="s">
        <v>161</v>
      </c>
      <c r="C6" s="14" t="s">
        <v>160</v>
      </c>
      <c r="D6" s="15" t="s">
        <v>163</v>
      </c>
      <c r="E6" s="15" t="s">
        <v>162</v>
      </c>
      <c r="F6" s="15" t="s">
        <v>162</v>
      </c>
      <c r="G6" s="15"/>
      <c r="H6" s="15"/>
      <c r="I6" s="15" t="s">
        <v>163</v>
      </c>
      <c r="J6" s="16" t="str">
        <f aca="false">IF(COUNTIF(B6:I6,"A")=1,"OK","Revisar")</f>
        <v>OK</v>
      </c>
    </row>
    <row r="7" customFormat="false" ht="15" hidden="false" customHeight="false" outlineLevel="0" collapsed="false">
      <c r="A7" s="13" t="s">
        <v>165</v>
      </c>
      <c r="B7" s="14" t="s">
        <v>160</v>
      </c>
      <c r="C7" s="15" t="s">
        <v>161</v>
      </c>
      <c r="D7" s="15" t="s">
        <v>161</v>
      </c>
      <c r="E7" s="15" t="s">
        <v>162</v>
      </c>
      <c r="F7" s="15" t="s">
        <v>162</v>
      </c>
      <c r="G7" s="15" t="s">
        <v>163</v>
      </c>
      <c r="H7" s="15"/>
      <c r="I7" s="15" t="s">
        <v>163</v>
      </c>
      <c r="J7" s="16" t="str">
        <f aca="false">IF(COUNTIF(B7:I7,"A")=1,"OK","Revisar")</f>
        <v>OK</v>
      </c>
    </row>
    <row r="8" customFormat="false" ht="15" hidden="false" customHeight="false" outlineLevel="0" collapsed="false">
      <c r="A8" s="13" t="s">
        <v>166</v>
      </c>
      <c r="B8" s="14" t="s">
        <v>160</v>
      </c>
      <c r="C8" s="15" t="s">
        <v>163</v>
      </c>
      <c r="D8" s="15" t="s">
        <v>161</v>
      </c>
      <c r="E8" s="15" t="s">
        <v>162</v>
      </c>
      <c r="F8" s="15"/>
      <c r="G8" s="15"/>
      <c r="H8" s="15" t="s">
        <v>161</v>
      </c>
      <c r="I8" s="15"/>
      <c r="J8" s="16" t="str">
        <f aca="false">IF(COUNTIF(B8:I8,"A")=1,"OK","Revisar")</f>
        <v>OK</v>
      </c>
    </row>
    <row r="9" customFormat="false" ht="15" hidden="false" customHeight="false" outlineLevel="0" collapsed="false">
      <c r="A9" s="13" t="s">
        <v>167</v>
      </c>
      <c r="B9" s="14" t="s">
        <v>160</v>
      </c>
      <c r="C9" s="15" t="s">
        <v>163</v>
      </c>
      <c r="D9" s="15" t="s">
        <v>161</v>
      </c>
      <c r="E9" s="15" t="s">
        <v>162</v>
      </c>
      <c r="F9" s="15" t="s">
        <v>161</v>
      </c>
      <c r="G9" s="15" t="s">
        <v>163</v>
      </c>
      <c r="H9" s="15"/>
      <c r="I9" s="15"/>
      <c r="J9" s="16" t="str">
        <f aca="false">IF(COUNTIF(B9:I9,"A")=1,"OK","Revisar")</f>
        <v>OK</v>
      </c>
    </row>
    <row r="10" customFormat="false" ht="15" hidden="false" customHeight="false" outlineLevel="0" collapsed="false">
      <c r="A10" s="13" t="s">
        <v>168</v>
      </c>
      <c r="B10" s="15" t="s">
        <v>161</v>
      </c>
      <c r="C10" s="15" t="s">
        <v>163</v>
      </c>
      <c r="D10" s="15" t="s">
        <v>161</v>
      </c>
      <c r="E10" s="15" t="s">
        <v>162</v>
      </c>
      <c r="F10" s="14" t="s">
        <v>160</v>
      </c>
      <c r="G10" s="15" t="s">
        <v>161</v>
      </c>
      <c r="H10" s="15"/>
      <c r="I10" s="15" t="s">
        <v>162</v>
      </c>
      <c r="J10" s="16" t="str">
        <f aca="false">IF(COUNTIF(B10:I10,"A")=1,"OK","Revisar")</f>
        <v>OK</v>
      </c>
    </row>
    <row r="11" customFormat="false" ht="15" hidden="false" customHeight="false" outlineLevel="0" collapsed="false">
      <c r="A11" s="13" t="s">
        <v>169</v>
      </c>
      <c r="B11" s="15" t="s">
        <v>161</v>
      </c>
      <c r="C11" s="15" t="s">
        <v>163</v>
      </c>
      <c r="D11" s="15" t="s">
        <v>163</v>
      </c>
      <c r="E11" s="14" t="s">
        <v>160</v>
      </c>
      <c r="F11" s="15" t="s">
        <v>162</v>
      </c>
      <c r="G11" s="15" t="s">
        <v>162</v>
      </c>
      <c r="H11" s="15"/>
      <c r="I11" s="15"/>
      <c r="J11" s="16" t="str">
        <f aca="false">IF(COUNTIF(B11:I11,"A")=1,"OK","Revisar")</f>
        <v>OK</v>
      </c>
    </row>
    <row r="12" customFormat="false" ht="15" hidden="false" customHeight="false" outlineLevel="0" collapsed="false">
      <c r="A12" s="13" t="s">
        <v>170</v>
      </c>
      <c r="B12" s="15" t="s">
        <v>161</v>
      </c>
      <c r="C12" s="14" t="s">
        <v>160</v>
      </c>
      <c r="D12" s="15" t="s">
        <v>161</v>
      </c>
      <c r="E12" s="15" t="s">
        <v>163</v>
      </c>
      <c r="F12" s="15" t="s">
        <v>163</v>
      </c>
      <c r="G12" s="15" t="s">
        <v>162</v>
      </c>
      <c r="H12" s="15"/>
      <c r="I12" s="15"/>
      <c r="J12" s="16" t="str">
        <f aca="false">IF(COUNTIF(B12:I12,"A")=1,"OK","Revisar")</f>
        <v>OK</v>
      </c>
    </row>
  </sheetData>
  <conditionalFormatting sqref="B5:I12">
    <cfRule type="cellIs" priority="2" operator="equal" aboveAverage="0" equalAverage="0" bottom="0" percent="0" rank="0" text="" dxfId="1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30" hidden="false" customHeight="true" outlineLevel="0" collapsed="false">
      <c r="A4" s="6" t="s">
        <v>173</v>
      </c>
      <c r="B4" s="6" t="s">
        <v>174</v>
      </c>
      <c r="C4" s="6" t="s">
        <v>175</v>
      </c>
      <c r="D4" s="6" t="s">
        <v>176</v>
      </c>
      <c r="E4" s="6" t="s">
        <v>177</v>
      </c>
      <c r="F4" s="6" t="s">
        <v>178</v>
      </c>
    </row>
    <row r="5" customFormat="false" ht="15" hidden="false" customHeight="false" outlineLevel="0" collapsed="false">
      <c r="A5" s="7" t="s">
        <v>179</v>
      </c>
      <c r="B5" s="17" t="n">
        <v>4</v>
      </c>
      <c r="C5" s="17" t="n">
        <v>4</v>
      </c>
      <c r="D5" s="18" t="n">
        <f aca="false">B5*C5</f>
        <v>16</v>
      </c>
      <c r="E5" s="19" t="str">
        <f aca="false">IF(D5&gt;=15,"Alto",IF(D5&gt;=8,"Medio","Bajo"))</f>
        <v>Alto</v>
      </c>
      <c r="F5" s="7" t="s">
        <v>180</v>
      </c>
    </row>
    <row r="6" customFormat="false" ht="15" hidden="false" customHeight="false" outlineLevel="0" collapsed="false">
      <c r="A6" s="7" t="s">
        <v>181</v>
      </c>
      <c r="B6" s="17" t="n">
        <v>3</v>
      </c>
      <c r="C6" s="17" t="n">
        <v>4</v>
      </c>
      <c r="D6" s="18" t="n">
        <f aca="false">B6*C6</f>
        <v>12</v>
      </c>
      <c r="E6" s="19" t="str">
        <f aca="false">IF(D6&gt;=15,"Alto",IF(D6&gt;=8,"Medio","Bajo"))</f>
        <v>Medio</v>
      </c>
      <c r="F6" s="7" t="s">
        <v>182</v>
      </c>
    </row>
    <row r="7" customFormat="false" ht="15" hidden="false" customHeight="false" outlineLevel="0" collapsed="false">
      <c r="A7" s="7" t="s">
        <v>183</v>
      </c>
      <c r="B7" s="17" t="n">
        <v>4</v>
      </c>
      <c r="C7" s="17" t="n">
        <v>5</v>
      </c>
      <c r="D7" s="18" t="n">
        <f aca="false">B7*C7</f>
        <v>20</v>
      </c>
      <c r="E7" s="19" t="str">
        <f aca="false">IF(D7&gt;=15,"Alto",IF(D7&gt;=8,"Medio","Bajo"))</f>
        <v>Alto</v>
      </c>
      <c r="F7" s="7" t="s">
        <v>184</v>
      </c>
    </row>
    <row r="8" customFormat="false" ht="23.85" hidden="false" customHeight="false" outlineLevel="0" collapsed="false">
      <c r="A8" s="7" t="s">
        <v>185</v>
      </c>
      <c r="B8" s="17" t="n">
        <v>2</v>
      </c>
      <c r="C8" s="17" t="n">
        <v>5</v>
      </c>
      <c r="D8" s="18" t="n">
        <f aca="false">B8*C8</f>
        <v>10</v>
      </c>
      <c r="E8" s="19" t="str">
        <f aca="false">IF(D8&gt;=15,"Alto",IF(D8&gt;=8,"Medio","Bajo"))</f>
        <v>Medio</v>
      </c>
      <c r="F8" s="7" t="s">
        <v>186</v>
      </c>
    </row>
    <row r="9" customFormat="false" ht="15" hidden="false" customHeight="false" outlineLevel="0" collapsed="false">
      <c r="A9" s="7" t="s">
        <v>187</v>
      </c>
      <c r="B9" s="17" t="n">
        <v>4</v>
      </c>
      <c r="C9" s="17" t="n">
        <v>3</v>
      </c>
      <c r="D9" s="18" t="n">
        <f aca="false">B9*C9</f>
        <v>12</v>
      </c>
      <c r="E9" s="19" t="str">
        <f aca="false">IF(D9&gt;=15,"Alto",IF(D9&gt;=8,"Medio","Bajo"))</f>
        <v>Medio</v>
      </c>
      <c r="F9" s="7" t="s">
        <v>188</v>
      </c>
    </row>
    <row r="10" customFormat="false" ht="15" hidden="false" customHeight="false" outlineLevel="0" collapsed="false">
      <c r="A10" s="7" t="s">
        <v>189</v>
      </c>
      <c r="B10" s="17" t="n">
        <v>3</v>
      </c>
      <c r="C10" s="17" t="n">
        <v>3</v>
      </c>
      <c r="D10" s="18" t="n">
        <f aca="false">B10*C10</f>
        <v>9</v>
      </c>
      <c r="E10" s="19" t="str">
        <f aca="false">IF(D10&gt;=15,"Alto",IF(D10&gt;=8,"Medio","Bajo"))</f>
        <v>Medio</v>
      </c>
      <c r="F10" s="7" t="s">
        <v>190</v>
      </c>
    </row>
    <row r="11" customFormat="false" ht="15" hidden="false" customHeight="false" outlineLevel="0" collapsed="false">
      <c r="A11" s="7" t="s">
        <v>191</v>
      </c>
      <c r="B11" s="17" t="n">
        <v>3</v>
      </c>
      <c r="C11" s="17" t="n">
        <v>4</v>
      </c>
      <c r="D11" s="18" t="n">
        <f aca="false">B11*C11</f>
        <v>12</v>
      </c>
      <c r="E11" s="19" t="str">
        <f aca="false">IF(D11&gt;=15,"Alto",IF(D11&gt;=8,"Medio","Bajo"))</f>
        <v>Medio</v>
      </c>
      <c r="F11" s="7" t="s">
        <v>192</v>
      </c>
    </row>
    <row r="12" customFormat="false" ht="15" hidden="false" customHeight="false" outlineLevel="0" collapsed="false">
      <c r="A12" s="7" t="s">
        <v>193</v>
      </c>
      <c r="B12" s="17" t="n">
        <v>2</v>
      </c>
      <c r="C12" s="17" t="n">
        <v>5</v>
      </c>
      <c r="D12" s="18" t="n">
        <f aca="false">B12*C12</f>
        <v>10</v>
      </c>
      <c r="E12" s="19" t="str">
        <f aca="false">IF(D12&gt;=15,"Alto",IF(D12&gt;=8,"Medio","Bajo"))</f>
        <v>Medio</v>
      </c>
      <c r="F12" s="7" t="s">
        <v>194</v>
      </c>
    </row>
    <row r="14" customFormat="false" ht="15" hidden="false" customHeight="false" outlineLevel="0" collapsed="false">
      <c r="A14" s="3" t="s">
        <v>195</v>
      </c>
      <c r="D14" s="3" t="n">
        <f aca="false">COUNTIF(E5:E12,"Alto")</f>
        <v>2</v>
      </c>
    </row>
  </sheetData>
  <conditionalFormatting sqref="E5:E12">
    <cfRule type="cellIs" priority="2" operator="equal" aboveAverage="0" equalAverage="0" bottom="0" percent="0" rank="0" text="" dxfId="2">
      <formula>"Alto"</formula>
    </cfRule>
    <cfRule type="cellIs" priority="3" operator="equal" aboveAverage="0" equalAverage="0" bottom="0" percent="0" rank="0" text="" dxfId="3">
      <formula>"Medio"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30" hidden="false" customHeight="true" outlineLevel="0" collapsed="false">
      <c r="A4" s="6" t="s">
        <v>198</v>
      </c>
      <c r="B4" s="6" t="s">
        <v>199</v>
      </c>
      <c r="C4" s="6" t="s">
        <v>200</v>
      </c>
      <c r="D4" s="6" t="s">
        <v>201</v>
      </c>
      <c r="E4" s="6" t="s">
        <v>202</v>
      </c>
      <c r="F4" s="6" t="s">
        <v>203</v>
      </c>
      <c r="G4" s="6" t="s">
        <v>204</v>
      </c>
    </row>
    <row r="5" customFormat="false" ht="23.85" hidden="false" customHeight="false" outlineLevel="0" collapsed="false">
      <c r="A5" s="7" t="s">
        <v>178</v>
      </c>
      <c r="B5" s="7" t="s">
        <v>205</v>
      </c>
      <c r="C5" s="7" t="s">
        <v>206</v>
      </c>
      <c r="D5" s="7" t="s">
        <v>207</v>
      </c>
      <c r="E5" s="7" t="s">
        <v>208</v>
      </c>
      <c r="F5" s="7" t="s">
        <v>209</v>
      </c>
      <c r="G5" s="7" t="s">
        <v>210</v>
      </c>
    </row>
    <row r="6" customFormat="false" ht="23.85" hidden="false" customHeight="false" outlineLevel="0" collapsed="false">
      <c r="A6" s="7" t="s">
        <v>178</v>
      </c>
      <c r="B6" s="7" t="s">
        <v>211</v>
      </c>
      <c r="C6" s="7" t="s">
        <v>212</v>
      </c>
      <c r="D6" s="7" t="s">
        <v>207</v>
      </c>
      <c r="E6" s="7" t="s">
        <v>213</v>
      </c>
      <c r="F6" s="7" t="s">
        <v>209</v>
      </c>
      <c r="G6" s="7" t="s">
        <v>210</v>
      </c>
    </row>
    <row r="7" customFormat="false" ht="23.85" hidden="false" customHeight="false" outlineLevel="0" collapsed="false">
      <c r="A7" s="7" t="s">
        <v>178</v>
      </c>
      <c r="B7" s="7" t="s">
        <v>214</v>
      </c>
      <c r="C7" s="7" t="s">
        <v>215</v>
      </c>
      <c r="D7" s="7" t="s">
        <v>216</v>
      </c>
      <c r="E7" s="7" t="s">
        <v>217</v>
      </c>
      <c r="F7" s="7" t="s">
        <v>218</v>
      </c>
      <c r="G7" s="7" t="s">
        <v>210</v>
      </c>
    </row>
    <row r="8" customFormat="false" ht="15" hidden="false" customHeight="false" outlineLevel="0" collapsed="false">
      <c r="A8" s="7" t="s">
        <v>219</v>
      </c>
      <c r="B8" s="7" t="s">
        <v>220</v>
      </c>
      <c r="C8" s="7" t="s">
        <v>221</v>
      </c>
      <c r="D8" s="7" t="s">
        <v>222</v>
      </c>
      <c r="E8" s="7" t="s">
        <v>223</v>
      </c>
      <c r="F8" s="7" t="s">
        <v>218</v>
      </c>
      <c r="G8" s="7" t="s">
        <v>224</v>
      </c>
    </row>
    <row r="9" customFormat="false" ht="15" hidden="false" customHeight="false" outlineLevel="0" collapsed="false">
      <c r="A9" s="7" t="s">
        <v>219</v>
      </c>
      <c r="B9" s="7" t="s">
        <v>225</v>
      </c>
      <c r="C9" s="7" t="s">
        <v>226</v>
      </c>
      <c r="D9" s="7" t="s">
        <v>227</v>
      </c>
      <c r="E9" s="7" t="s">
        <v>228</v>
      </c>
      <c r="F9" s="7" t="s">
        <v>218</v>
      </c>
      <c r="G9" s="7" t="s">
        <v>224</v>
      </c>
    </row>
    <row r="10" customFormat="false" ht="15" hidden="false" customHeight="false" outlineLevel="0" collapsed="false">
      <c r="A10" s="7" t="s">
        <v>229</v>
      </c>
      <c r="B10" s="7" t="s">
        <v>230</v>
      </c>
      <c r="C10" s="7" t="s">
        <v>231</v>
      </c>
      <c r="D10" s="7" t="s">
        <v>232</v>
      </c>
      <c r="E10" s="7" t="s">
        <v>233</v>
      </c>
      <c r="F10" s="7" t="s">
        <v>234</v>
      </c>
      <c r="G10" s="7" t="s">
        <v>224</v>
      </c>
    </row>
    <row r="11" customFormat="false" ht="15" hidden="false" customHeight="false" outlineLevel="0" collapsed="false">
      <c r="A11" s="7" t="s">
        <v>229</v>
      </c>
      <c r="B11" s="7" t="s">
        <v>235</v>
      </c>
      <c r="C11" s="7" t="s">
        <v>236</v>
      </c>
      <c r="D11" s="7" t="s">
        <v>237</v>
      </c>
      <c r="E11" s="7" t="s">
        <v>238</v>
      </c>
      <c r="F11" s="7" t="s">
        <v>239</v>
      </c>
      <c r="G11" s="7" t="s">
        <v>240</v>
      </c>
    </row>
    <row r="12" customFormat="false" ht="15" hidden="false" customHeight="false" outlineLevel="0" collapsed="false">
      <c r="A12" s="7" t="s">
        <v>241</v>
      </c>
      <c r="B12" s="7" t="s">
        <v>242</v>
      </c>
      <c r="C12" s="7" t="s">
        <v>243</v>
      </c>
      <c r="D12" s="7" t="s">
        <v>244</v>
      </c>
      <c r="E12" s="7" t="s">
        <v>245</v>
      </c>
      <c r="F12" s="7" t="s">
        <v>234</v>
      </c>
      <c r="G12" s="7" t="s">
        <v>224</v>
      </c>
    </row>
    <row r="13" customFormat="false" ht="15" hidden="false" customHeight="false" outlineLevel="0" collapsed="false">
      <c r="A13" s="7" t="s">
        <v>246</v>
      </c>
      <c r="B13" s="7" t="s">
        <v>247</v>
      </c>
      <c r="C13" s="7" t="s">
        <v>248</v>
      </c>
      <c r="D13" s="7" t="s">
        <v>237</v>
      </c>
      <c r="E13" s="7" t="s">
        <v>238</v>
      </c>
      <c r="F13" s="7" t="s">
        <v>249</v>
      </c>
      <c r="G13" s="7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250</v>
      </c>
    </row>
    <row r="4" customFormat="false" ht="15" hidden="false" customHeight="false" outlineLevel="0" collapsed="false">
      <c r="A4" s="20" t="s">
        <v>251</v>
      </c>
    </row>
    <row r="5" customFormat="false" ht="45.75" hidden="false" customHeight="true" outlineLevel="0" collapsed="false">
      <c r="A5" s="21" t="s">
        <v>252</v>
      </c>
      <c r="B5" s="7" t="s">
        <v>253</v>
      </c>
    </row>
    <row r="6" customFormat="false" ht="45.75" hidden="false" customHeight="true" outlineLevel="0" collapsed="false">
      <c r="A6" s="21" t="s">
        <v>254</v>
      </c>
      <c r="B6" s="7" t="s">
        <v>255</v>
      </c>
    </row>
    <row r="7" customFormat="false" ht="45.75" hidden="false" customHeight="true" outlineLevel="0" collapsed="false">
      <c r="A7" s="21" t="s">
        <v>50</v>
      </c>
      <c r="B7" s="7" t="s">
        <v>256</v>
      </c>
    </row>
    <row r="8" customFormat="false" ht="45.75" hidden="false" customHeight="true" outlineLevel="0" collapsed="false">
      <c r="A8" s="22" t="s">
        <v>53</v>
      </c>
      <c r="B8" s="7" t="s">
        <v>257</v>
      </c>
    </row>
    <row r="9" customFormat="false" ht="45.75" hidden="false" customHeight="true" outlineLevel="0" collapsed="false">
      <c r="A9" s="21" t="s">
        <v>57</v>
      </c>
      <c r="B9" s="7" t="s">
        <v>258</v>
      </c>
    </row>
    <row r="11" customFormat="false" ht="15" hidden="false" customHeight="false" outlineLevel="0" collapsed="false">
      <c r="A11" s="20" t="s">
        <v>259</v>
      </c>
    </row>
    <row r="12" customFormat="false" ht="45.75" hidden="false" customHeight="true" outlineLevel="0" collapsed="false">
      <c r="A12" s="21" t="s">
        <v>252</v>
      </c>
      <c r="B12" s="7" t="s">
        <v>260</v>
      </c>
    </row>
    <row r="13" customFormat="false" ht="45.75" hidden="false" customHeight="true" outlineLevel="0" collapsed="false">
      <c r="A13" s="21" t="s">
        <v>254</v>
      </c>
      <c r="B13" s="7" t="s">
        <v>261</v>
      </c>
    </row>
    <row r="14" customFormat="false" ht="45.75" hidden="false" customHeight="true" outlineLevel="0" collapsed="false">
      <c r="A14" s="21" t="s">
        <v>50</v>
      </c>
      <c r="B14" s="7" t="s">
        <v>262</v>
      </c>
    </row>
    <row r="15" customFormat="false" ht="45.75" hidden="false" customHeight="true" outlineLevel="0" collapsed="false">
      <c r="A15" s="22" t="s">
        <v>53</v>
      </c>
      <c r="B15" s="7" t="s">
        <v>263</v>
      </c>
    </row>
    <row r="16" customFormat="false" ht="45.75" hidden="false" customHeight="true" outlineLevel="0" collapsed="false">
      <c r="A16" s="21" t="s">
        <v>57</v>
      </c>
      <c r="B16" s="7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2026-10-23T14:54:25Z</dcterms:created>
  <dc:creator>openpyxl</dc:creator>
  <dc:description/>
  <dc:language>en-US</dc:language>
  <cp:lastModifiedBy/>
  <dcterms:modified xsi:type="dcterms:W3CDTF">2026-10-23T14:54:25Z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